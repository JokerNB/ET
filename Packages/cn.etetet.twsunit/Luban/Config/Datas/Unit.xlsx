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/>
  </bookViews>
  <sheets>
    <sheet name="UnitProto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<sst xmlns="http://schemas.openxmlformats.org/spreadsheetml/2006/main" count="80" uniqueCount="74">
  <si>
    <t>##var</t>
  </si>
  <si>
    <t>Id</t>
  </si>
  <si>
    <t>UnitType</t>
  </si>
  <si>
    <t>Name</t>
  </si>
  <si>
    <t>Des</t>
  </si>
  <si>
    <t>*NumericTypeValue</t>
  </si>
  <si>
    <t>ResName</t>
  </si>
  <si>
    <t>##type</t>
  </si>
  <si>
    <t>int</t>
  </si>
  <si>
    <t>string</t>
  </si>
  <si>
    <t>map,ENumericType,long</t>
  </si>
  <si>
    <t>##</t>
  </si>
  <si>
    <t>类型</t>
  </si>
  <si>
    <t>名字</t>
  </si>
  <si>
    <t>描述</t>
  </si>
  <si>
    <t>数值</t>
  </si>
  <si>
    <t>资源名称</t>
  </si>
  <si>
    <t>管理者</t>
  </si>
  <si>
    <t>金钱_0</t>
  </si>
  <si>
    <t>钻石_0</t>
  </si>
  <si>
    <t>声望值_0</t>
  </si>
  <si>
    <t>人口上限_0</t>
  </si>
  <si>
    <t>农民</t>
  </si>
  <si>
    <t>种植小麦、蔬菜、水果等农作物。</t>
  </si>
  <si>
    <t>樵夫</t>
  </si>
  <si>
    <t>砍伐数目，获取木材。</t>
  </si>
  <si>
    <t>渔夫</t>
  </si>
  <si>
    <t>从河流或海洋中捞捕鱼类。</t>
  </si>
  <si>
    <t>矿工</t>
  </si>
  <si>
    <t>开采石料、铁、铜、金、煤等矿产资源。</t>
  </si>
  <si>
    <t>面包师</t>
  </si>
  <si>
    <t>将小麦磨成面粉，再烤制成面包等。</t>
  </si>
  <si>
    <t>厨师</t>
  </si>
  <si>
    <t>将各种食材加工成高级菜肴。</t>
  </si>
  <si>
    <t>铁匠</t>
  </si>
  <si>
    <t>将铁锭加工成工具、武器、钉子等。</t>
  </si>
  <si>
    <t>木匠</t>
  </si>
  <si>
    <t>将木材加工成家具、建材、工具柄等。</t>
  </si>
  <si>
    <t>裁缝</t>
  </si>
  <si>
    <t>将羊毛、棉花、皮革加工成衣物、皮革制品。</t>
  </si>
  <si>
    <t>陶工</t>
  </si>
  <si>
    <t>制作陶器、砖块等。</t>
  </si>
  <si>
    <t>酿酒师</t>
  </si>
  <si>
    <t>酿造啤酒、葡萄酒等。</t>
  </si>
  <si>
    <t>珠宝匠</t>
  </si>
  <si>
    <t>制作金银首饰、奢侈品等。</t>
  </si>
  <si>
    <t>商人</t>
  </si>
  <si>
    <t>运营商店，买卖商品。</t>
  </si>
  <si>
    <t>医生</t>
  </si>
  <si>
    <t>治疗生病的居民。</t>
  </si>
  <si>
    <t>教师</t>
  </si>
  <si>
    <t>在学校中教育儿童。</t>
  </si>
  <si>
    <t>牧师</t>
  </si>
  <si>
    <t>在教堂提供精神服务，维持居民幸福度和稳定度。</t>
  </si>
  <si>
    <t>士兵</t>
  </si>
  <si>
    <t>维持治安，抵御外敌。</t>
  </si>
  <si>
    <t>车夫</t>
  </si>
  <si>
    <t>负责在仓库、生产建筑和市场之间运输货物，提高物流效率。</t>
  </si>
  <si>
    <t>吟游诗人</t>
  </si>
  <si>
    <t>在酒馆表演，提升娱乐度。</t>
  </si>
  <si>
    <t>演员</t>
  </si>
  <si>
    <t>在剧院表演。</t>
  </si>
  <si>
    <t>税务官</t>
  </si>
  <si>
    <t>高效的收取税金，但可能降低居民幸福度。</t>
  </si>
  <si>
    <t>学者</t>
  </si>
  <si>
    <t>在大学中进行研究，解锁新技术，新建筑。</t>
  </si>
  <si>
    <t>贵族</t>
  </si>
  <si>
    <t>消耗大量奢侈品，提供高额税收，但对生活环境要求极高。</t>
  </si>
  <si>
    <t>工程师</t>
  </si>
  <si>
    <t>操作和维护复杂的机械。</t>
  </si>
  <si>
    <t>冒险者</t>
  </si>
  <si>
    <t>探索外部区域，带回稀有资源、宝物或触发特殊事件，但可能有伤亡风险。</t>
  </si>
  <si>
    <t>小偷</t>
  </si>
  <si>
    <t>偷盗居民财产。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</si>
</sst>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等线"/>
      <charset val="134"/>
      <scheme val="minor"/>
    </font>
    <font>
      <b/>
      <sz val="14"/>
      <color theme="1"/>
      <name val="微软雅黑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134"/>
      <scheme val="minor"/>
    </font>
    <font>
      <sz val="11"/>
      <color rgb="FF9C0006"/>
      <name val="等线"/>
      <charset val="134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4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5" borderId="4" applyNumberFormat="0" applyAlignment="0" applyProtection="0">
      <alignment vertical="center"/>
    </xf>
    <xf numFmtId="0" fontId="11" fillId="6" borderId="5" applyNumberFormat="0" applyAlignment="0" applyProtection="0">
      <alignment vertical="center"/>
    </xf>
    <xf numFmtId="0" fontId="12" fillId="6" borderId="4" applyNumberFormat="0" applyAlignment="0" applyProtection="0">
      <alignment vertical="center"/>
    </xf>
    <xf numFmtId="0" fontId="13" fillId="7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19" fillId="34" borderId="0" applyNumberFormat="0" applyBorder="0" applyAlignment="0" applyProtection="0">
      <alignment vertical="center"/>
    </xf>
  </cellStyleXfs>
  <cellXfs count="11">
    <xf numFmtId="0" fontId="0" fillId="0" borderId="0" xfId="0"/>
    <xf numFmtId="0" fontId="1" fillId="2" borderId="0" xfId="0" applyFont="1" applyFill="1" applyAlignment="1">
      <alignment horizontal="center"/>
    </xf>
    <xf numFmtId="0" fontId="1" fillId="0" borderId="0" xfId="0" applyFont="1" applyAlignment="1">
      <alignment horizontal="center"/>
    </xf>
    <xf numFmtId="0" fontId="1" fillId="3" borderId="0" xfId="0" applyFont="1" applyFill="1" applyAlignment="1">
      <alignment horizontal="center"/>
    </xf>
    <xf numFmtId="0" fontId="1" fillId="0" borderId="0" xfId="0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1" fillId="3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 wrapText="1"/>
    </xf>
    <xf numFmtId="0" fontId="1" fillId="0" borderId="0" xfId="0" applyFont="1" applyFill="1" applyAlignment="1">
      <alignment horizontal="center" vertical="center"/>
    </xf>
    <xf numFmtId="0" fontId="1" fillId="0" borderId="0" xfId="0" applyFont="1" applyAlignment="1" applyProtection="1">
      <alignment horizontal="center" vertical="center"/>
      <protection locked="0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4"/>
  <sheetViews>
    <sheetView tabSelected="1" workbookViewId="0">
      <selection activeCell="F33" sqref="F33"/>
    </sheetView>
  </sheetViews>
  <sheetFormatPr defaultColWidth="9" defaultRowHeight="21" outlineLevelCol="7"/>
  <cols>
    <col min="1" max="1" width="12.5" style="2" customWidth="1"/>
    <col min="2" max="2" width="15.875" style="2" customWidth="1"/>
    <col min="3" max="3" width="15.875" style="4" customWidth="1"/>
    <col min="4" max="4" width="20.75" style="2" customWidth="1"/>
    <col min="5" max="5" width="80.875" style="2" customWidth="1"/>
    <col min="6" max="7" width="31.125" style="2" customWidth="1"/>
    <col min="8" max="8" width="25.125" style="2" customWidth="1"/>
    <col min="9" max="16384" width="9" style="2"/>
  </cols>
  <sheetData>
    <row r="1" s="1" customFormat="1" spans="1:8">
      <c r="A1" s="1" t="s">
        <v>0</v>
      </c>
      <c r="B1" s="1" t="s">
        <v>1</v>
      </c>
      <c r="C1" s="5" t="s">
        <v>2</v>
      </c>
      <c r="D1" s="1" t="s">
        <v>3</v>
      </c>
      <c r="E1" s="1" t="s">
        <v>4</v>
      </c>
      <c r="F1" s="1" t="s">
        <v>5</v>
      </c>
      <c r="H1" s="1" t="s">
        <v>6</v>
      </c>
    </row>
    <row r="2" s="1" customFormat="1" spans="1:8">
      <c r="A2" s="1" t="s">
        <v>7</v>
      </c>
      <c r="B2" s="1" t="s">
        <v>8</v>
      </c>
      <c r="C2" s="5" t="s">
        <v>2</v>
      </c>
      <c r="D2" s="1" t="s">
        <v>9</v>
      </c>
      <c r="E2" s="1" t="s">
        <v>9</v>
      </c>
      <c r="F2" s="1" t="s">
        <v>10</v>
      </c>
      <c r="H2" s="1" t="s">
        <v>9</v>
      </c>
    </row>
    <row r="3" s="1" customFormat="1" spans="1:8">
      <c r="A3" s="1" t="s">
        <v>11</v>
      </c>
      <c r="B3" s="1" t="s">
        <v>1</v>
      </c>
      <c r="C3" s="5" t="s">
        <v>12</v>
      </c>
      <c r="D3" s="1" t="s">
        <v>13</v>
      </c>
      <c r="E3" s="1" t="s">
        <v>14</v>
      </c>
      <c r="F3" s="1" t="s">
        <v>15</v>
      </c>
      <c r="H3" s="1" t="s">
        <v>16</v>
      </c>
    </row>
    <row r="4" s="2" customFormat="1" spans="2:7">
      <c r="B4" s="4">
        <v>1</v>
      </c>
      <c r="C4" s="4" t="s">
        <v>17</v>
      </c>
      <c r="D4" s="4"/>
      <c r="E4" s="6" t="s">
        <v>17</v>
      </c>
      <c r="F4" s="6" t="s">
        <v>18</v>
      </c>
      <c r="G4" s="6">
        <v>1000</v>
      </c>
    </row>
    <row r="5" s="2" customFormat="1" spans="2:7">
      <c r="B5" s="4"/>
      <c r="C5" s="4"/>
      <c r="D5" s="4"/>
      <c r="E5" s="6"/>
      <c r="F5" s="6" t="s">
        <v>19</v>
      </c>
      <c r="G5" s="6">
        <v>0</v>
      </c>
    </row>
    <row r="6" s="2" customFormat="1" spans="2:7">
      <c r="B6" s="4"/>
      <c r="C6" s="4"/>
      <c r="D6" s="4"/>
      <c r="E6" s="6"/>
      <c r="F6" s="6" t="s">
        <v>20</v>
      </c>
      <c r="G6" s="6">
        <v>0</v>
      </c>
    </row>
    <row r="7" s="2" customFormat="1" spans="2:7">
      <c r="B7" s="4"/>
      <c r="C7" s="4"/>
      <c r="D7" s="4"/>
      <c r="E7" s="6"/>
      <c r="F7" s="6" t="s">
        <v>21</v>
      </c>
      <c r="G7" s="6">
        <v>2</v>
      </c>
    </row>
    <row r="8" s="3" customFormat="1" spans="1:7">
      <c r="A8" s="3" t="s">
        <v>11</v>
      </c>
      <c r="B8" s="7"/>
      <c r="C8" s="7"/>
      <c r="D8" s="7"/>
      <c r="E8" s="8"/>
      <c r="F8" s="8"/>
      <c r="G8" s="8"/>
    </row>
    <row r="9" s="2" customFormat="1" spans="2:7">
      <c r="B9" s="4">
        <v>1027</v>
      </c>
      <c r="C9" s="9" t="s">
        <v>22</v>
      </c>
      <c r="D9" s="4" t="str">
        <f>_xlfn.CONCAT(C9,"_1")</f>
        <v>农民_1</v>
      </c>
      <c r="E9" s="6" t="s">
        <v>23</v>
      </c>
      <c r="F9" s="6"/>
      <c r="G9" s="6"/>
    </row>
    <row r="10" s="2" customFormat="1" spans="2:7">
      <c r="B10" s="4">
        <v>1028</v>
      </c>
      <c r="C10" s="9" t="s">
        <v>24</v>
      </c>
      <c r="D10" s="4" t="str">
        <f>_xlfn.CONCAT(C10,"_1")</f>
        <v>樵夫_1</v>
      </c>
      <c r="E10" s="6" t="s">
        <v>25</v>
      </c>
      <c r="F10" s="6"/>
      <c r="G10" s="6"/>
    </row>
    <row r="11" s="2" customFormat="1" spans="2:7">
      <c r="B11" s="4">
        <v>1029</v>
      </c>
      <c r="C11" s="9" t="s">
        <v>26</v>
      </c>
      <c r="D11" s="4" t="str">
        <f t="shared" ref="D11:D35" si="0">_xlfn.CONCAT(C11,"_1")</f>
        <v>渔夫_1</v>
      </c>
      <c r="E11" s="6" t="s">
        <v>27</v>
      </c>
      <c r="F11" s="6"/>
      <c r="G11" s="6"/>
    </row>
    <row r="12" s="2" customFormat="1" spans="2:7">
      <c r="B12" s="4">
        <v>1030</v>
      </c>
      <c r="C12" s="9" t="s">
        <v>28</v>
      </c>
      <c r="D12" s="4" t="str">
        <f t="shared" si="0"/>
        <v>矿工_1</v>
      </c>
      <c r="E12" s="6" t="s">
        <v>29</v>
      </c>
      <c r="F12" s="6"/>
      <c r="G12" s="6"/>
    </row>
    <row r="13" s="2" customFormat="1" spans="2:7">
      <c r="B13" s="4">
        <v>1031</v>
      </c>
      <c r="C13" s="9" t="s">
        <v>30</v>
      </c>
      <c r="D13" s="4" t="str">
        <f t="shared" si="0"/>
        <v>面包师_1</v>
      </c>
      <c r="E13" s="6" t="s">
        <v>31</v>
      </c>
      <c r="F13" s="6"/>
      <c r="G13" s="6"/>
    </row>
    <row r="14" s="2" customFormat="1" spans="2:7">
      <c r="B14" s="4">
        <v>1032</v>
      </c>
      <c r="C14" s="9" t="s">
        <v>32</v>
      </c>
      <c r="D14" s="4" t="str">
        <f t="shared" si="0"/>
        <v>厨师_1</v>
      </c>
      <c r="E14" s="6" t="s">
        <v>33</v>
      </c>
      <c r="F14" s="6"/>
      <c r="G14" s="6"/>
    </row>
    <row r="15" s="2" customFormat="1" spans="2:7">
      <c r="B15" s="4">
        <v>1033</v>
      </c>
      <c r="C15" s="9" t="s">
        <v>34</v>
      </c>
      <c r="D15" s="4" t="str">
        <f t="shared" si="0"/>
        <v>铁匠_1</v>
      </c>
      <c r="E15" s="6" t="s">
        <v>35</v>
      </c>
      <c r="F15" s="6"/>
      <c r="G15" s="6"/>
    </row>
    <row r="16" s="2" customFormat="1" spans="2:7">
      <c r="B16" s="4">
        <v>1034</v>
      </c>
      <c r="C16" s="9" t="s">
        <v>36</v>
      </c>
      <c r="D16" s="4" t="str">
        <f t="shared" si="0"/>
        <v>木匠_1</v>
      </c>
      <c r="E16" s="2" t="s">
        <v>37</v>
      </c>
      <c r="F16" s="6"/>
      <c r="G16" s="6"/>
    </row>
    <row r="17" spans="2:7">
      <c r="B17" s="4">
        <v>1035</v>
      </c>
      <c r="C17" s="9" t="s">
        <v>38</v>
      </c>
      <c r="D17" s="4" t="str">
        <f t="shared" si="0"/>
        <v>裁缝_1</v>
      </c>
      <c r="E17" s="2" t="s">
        <v>39</v>
      </c>
      <c r="F17" s="6"/>
      <c r="G17" s="6"/>
    </row>
    <row r="18" spans="2:6">
      <c r="B18" s="4">
        <v>1036</v>
      </c>
      <c r="C18" s="9" t="s">
        <v>40</v>
      </c>
      <c r="D18" s="4" t="str">
        <f t="shared" si="0"/>
        <v>陶工_1</v>
      </c>
      <c r="E18" s="2" t="s">
        <v>41</v>
      </c>
      <c r="F18" s="6"/>
    </row>
    <row r="19" spans="2:7">
      <c r="B19" s="4">
        <v>1037</v>
      </c>
      <c r="C19" s="9" t="s">
        <v>42</v>
      </c>
      <c r="D19" s="4" t="str">
        <f t="shared" si="0"/>
        <v>酿酒师_1</v>
      </c>
      <c r="E19" s="2" t="s">
        <v>43</v>
      </c>
      <c r="F19" s="6"/>
      <c r="G19" s="6"/>
    </row>
    <row r="20" spans="2:7">
      <c r="B20" s="4">
        <v>1038</v>
      </c>
      <c r="C20" s="9" t="s">
        <v>44</v>
      </c>
      <c r="D20" s="4" t="str">
        <f t="shared" si="0"/>
        <v>珠宝匠_1</v>
      </c>
      <c r="E20" s="2" t="s">
        <v>45</v>
      </c>
      <c r="F20" s="6"/>
      <c r="G20" s="6"/>
    </row>
    <row r="21" spans="2:7">
      <c r="B21" s="4">
        <v>1039</v>
      </c>
      <c r="C21" s="9" t="s">
        <v>46</v>
      </c>
      <c r="D21" s="10" t="str">
        <f t="shared" si="0"/>
        <v>商人_1</v>
      </c>
      <c r="E21" s="2" t="s">
        <v>47</v>
      </c>
      <c r="F21" s="6"/>
      <c r="G21" s="6"/>
    </row>
    <row r="22" spans="2:7">
      <c r="B22" s="4">
        <v>1040</v>
      </c>
      <c r="C22" s="9" t="s">
        <v>48</v>
      </c>
      <c r="D22" s="4" t="str">
        <f t="shared" si="0"/>
        <v>医生_1</v>
      </c>
      <c r="E22" s="2" t="s">
        <v>49</v>
      </c>
      <c r="F22" s="6"/>
      <c r="G22" s="6"/>
    </row>
    <row r="23" spans="2:5">
      <c r="B23" s="4">
        <v>1041</v>
      </c>
      <c r="C23" s="9" t="s">
        <v>50</v>
      </c>
      <c r="D23" s="4" t="str">
        <f t="shared" si="0"/>
        <v>教师_1</v>
      </c>
      <c r="E23" s="2" t="s">
        <v>51</v>
      </c>
    </row>
    <row r="24" spans="2:5">
      <c r="B24" s="4">
        <v>1042</v>
      </c>
      <c r="C24" s="9" t="s">
        <v>52</v>
      </c>
      <c r="D24" s="4" t="str">
        <f t="shared" si="0"/>
        <v>牧师_1</v>
      </c>
      <c r="E24" s="2" t="s">
        <v>53</v>
      </c>
    </row>
    <row r="25" spans="2:5">
      <c r="B25" s="4">
        <v>1043</v>
      </c>
      <c r="C25" s="9" t="s">
        <v>54</v>
      </c>
      <c r="D25" s="4" t="str">
        <f t="shared" si="0"/>
        <v>士兵_1</v>
      </c>
      <c r="E25" s="2" t="s">
        <v>55</v>
      </c>
    </row>
    <row r="26" spans="2:5">
      <c r="B26" s="4">
        <v>1044</v>
      </c>
      <c r="C26" s="9" t="s">
        <v>56</v>
      </c>
      <c r="D26" s="4" t="str">
        <f t="shared" si="0"/>
        <v>车夫_1</v>
      </c>
      <c r="E26" s="2" t="s">
        <v>57</v>
      </c>
    </row>
    <row r="27" spans="2:5">
      <c r="B27" s="4">
        <v>1045</v>
      </c>
      <c r="C27" s="9" t="s">
        <v>58</v>
      </c>
      <c r="D27" s="4" t="str">
        <f t="shared" si="0"/>
        <v>吟游诗人_1</v>
      </c>
      <c r="E27" s="2" t="s">
        <v>59</v>
      </c>
    </row>
    <row r="28" spans="2:5">
      <c r="B28" s="4">
        <v>1046</v>
      </c>
      <c r="C28" s="9" t="s">
        <v>60</v>
      </c>
      <c r="D28" s="4" t="str">
        <f t="shared" si="0"/>
        <v>演员_1</v>
      </c>
      <c r="E28" s="2" t="s">
        <v>61</v>
      </c>
    </row>
    <row r="29" spans="2:5">
      <c r="B29" s="4">
        <v>1047</v>
      </c>
      <c r="C29" s="9" t="s">
        <v>62</v>
      </c>
      <c r="D29" s="4" t="str">
        <f>_xlfn.CONCAT(C29,"_1")</f>
        <v>税务官_1</v>
      </c>
      <c r="E29" s="2" t="s">
        <v>63</v>
      </c>
    </row>
    <row r="30" spans="2:5">
      <c r="B30" s="4">
        <v>1048</v>
      </c>
      <c r="C30" s="9" t="s">
        <v>64</v>
      </c>
      <c r="D30" s="4" t="str">
        <f>_xlfn.CONCAT(C30,"_1")</f>
        <v>学者_1</v>
      </c>
      <c r="E30" s="2" t="s">
        <v>65</v>
      </c>
    </row>
    <row r="31" spans="2:5">
      <c r="B31" s="4">
        <v>1049</v>
      </c>
      <c r="C31" s="9" t="s">
        <v>66</v>
      </c>
      <c r="D31" s="4" t="str">
        <f>_xlfn.CONCAT(C31,"_1")</f>
        <v>贵族_1</v>
      </c>
      <c r="E31" s="2" t="s">
        <v>67</v>
      </c>
    </row>
    <row r="32" spans="2:5">
      <c r="B32" s="4">
        <v>1050</v>
      </c>
      <c r="C32" s="9" t="s">
        <v>68</v>
      </c>
      <c r="D32" s="4" t="str">
        <f>_xlfn.CONCAT(C32,"_1")</f>
        <v>工程师_1</v>
      </c>
      <c r="E32" s="2" t="s">
        <v>69</v>
      </c>
    </row>
    <row r="33" spans="2:5">
      <c r="B33" s="4">
        <v>1051</v>
      </c>
      <c r="C33" s="4" t="s">
        <v>70</v>
      </c>
      <c r="D33" s="4" t="str">
        <f>_xlfn.CONCAT(C33,"_1")</f>
        <v>冒险者_1</v>
      </c>
      <c r="E33" s="2" t="s">
        <v>71</v>
      </c>
    </row>
    <row r="34" spans="2:5">
      <c r="B34" s="4">
        <v>1052</v>
      </c>
      <c r="C34" s="4" t="s">
        <v>72</v>
      </c>
      <c r="D34" s="4" t="str">
        <f>_xlfn.CONCAT(C34,"_1")</f>
        <v>小偷_1</v>
      </c>
      <c r="E34" s="2" t="s">
        <v>73</v>
      </c>
    </row>
  </sheetData>
  <mergeCells count="3">
    <mergeCell ref="F1:G1"/>
    <mergeCell ref="F2:G2"/>
    <mergeCell ref="F3:G3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UnitProto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@磨叽蛋</cp:lastModifiedBy>
  <dcterms:created xsi:type="dcterms:W3CDTF">2015-06-05T18:19:00Z</dcterms:created>
  <dcterms:modified xsi:type="dcterms:W3CDTF">2025-09-16T03:42:53Z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2052-12.1.0.22529</vt:lpwstr>
  </property>
  <property fmtid="{D5CDD505-2E9C-101B-9397-08002B2CF9AE}" pid="3" name="ICV">
    <vt:lpwstr>15F1AB19A5D94B4583D24C78D53AB3A9</vt:lpwstr>
  </property>
  <property fmtid="{D5CDD505-2E9C-101B-9397-08002B2CF9AE}" pid="4" name="KSOReadingLayout">
    <vt:bool>false</vt:bool>
  </property>
</Properties>
</file>